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<sst xmlns="http://schemas.openxmlformats.org/spreadsheetml/2006/main" count="450" uniqueCount="233">
  <si>
    <t/>
  </si>
  <si>
    <t xml:space="preserve">Bill of Materials </t>
  </si>
  <si>
    <t>BOM_Avian_1_PCB1_1_2026-02-03</t>
  </si>
  <si>
    <t>Project Title：</t>
  </si>
  <si>
    <t>Avian</t>
  </si>
  <si>
    <t>Variant:</t>
  </si>
  <si>
    <t xml:space="preserve"> </t>
  </si>
  <si>
    <t>Report Time：</t>
  </si>
  <si>
    <t>2026年2月3日 10:15:21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</si>
  <si>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</si>
  <si>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</si>
  <si>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</si>
  <si>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</si>
  <si>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</si>
  <si>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</si>
  <si>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</si>
  <si>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</si>
  <si>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</si>
  <si>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</si>
  <si>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</si>
  <si>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</si>
  <si>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BMI270</t>
  </si>
  <si>
    <t>LGA-14_L3.0-W2.5-P0.50-BR</t>
  </si>
  <si>
    <t>Bosch(博世)</t>
  </si>
  <si>
    <t>C2836813</t>
  </si>
  <si>
    <t>LCSC</t>
  </si>
  <si>
    <t>BMM350</t>
  </si>
  <si>
    <t>WLCSP-9_L1.3-W1.3-R3-C3-P0.40-TL</t>
  </si>
  <si>
    <t>C17225907</t>
  </si>
  <si>
    <t>BMP581</t>
  </si>
  <si>
    <t>LGA-10_L2.0-W2.0-P0.50-TL_BMP581</t>
  </si>
  <si>
    <t>C5362283</t>
  </si>
  <si>
    <t>2.7kHz</t>
  </si>
  <si>
    <t>BUZZER</t>
  </si>
  <si>
    <t>BUZ-SMD_4P-L7.5-W7.5-P7.59-TL</t>
  </si>
  <si>
    <t>MLT-7525</t>
  </si>
  <si>
    <t>华能</t>
  </si>
  <si>
    <t>C95299</t>
  </si>
  <si>
    <t>100uF</t>
  </si>
  <si>
    <t>C1, C2, C22, C23, C24, C25, C26, C27, C28</t>
  </si>
  <si>
    <t>C1206</t>
  </si>
  <si>
    <t>CL31A107MQHNNNE</t>
  </si>
  <si>
    <t>SAMSUNG(三星)</t>
  </si>
  <si>
    <t>C15008</t>
  </si>
  <si>
    <t>4.7uF</t>
  </si>
  <si>
    <t>C29, C30, C31, C32</t>
  </si>
  <si>
    <t>CL31B475KBHNNNE</t>
  </si>
  <si>
    <t>C51205</t>
  </si>
  <si>
    <t>15pF</t>
  </si>
  <si>
    <t>C33, C34</t>
  </si>
  <si>
    <t>C0603</t>
  </si>
  <si>
    <t>CL10C150JB8NNNC</t>
  </si>
  <si>
    <t>C1644</t>
  </si>
  <si>
    <t>100nF</t>
  </si>
  <si>
    <t>C35, C36, C41, C42, C43, C44, C45, C46</t>
  </si>
  <si>
    <t>CC0603KRX7R9BB104</t>
  </si>
  <si>
    <t>YAGEO(国巨)</t>
  </si>
  <si>
    <t>C14663</t>
  </si>
  <si>
    <t>2.2uF</t>
  </si>
  <si>
    <t>C39</t>
  </si>
  <si>
    <t>CL31B225KBHNNNE</t>
  </si>
  <si>
    <t>C50254</t>
  </si>
  <si>
    <t>10nF</t>
  </si>
  <si>
    <t>C40</t>
  </si>
  <si>
    <t>CC0603KRX7R9BB103</t>
  </si>
  <si>
    <t>C100042</t>
  </si>
  <si>
    <t>C47</t>
  </si>
  <si>
    <t>CL10B104KB8NNNC</t>
  </si>
  <si>
    <t>C1591</t>
  </si>
  <si>
    <t>10uF</t>
  </si>
  <si>
    <t>C48, C49</t>
  </si>
  <si>
    <t>C0805</t>
  </si>
  <si>
    <t>CL21B106KOQNNNE</t>
  </si>
  <si>
    <t>C95841</t>
  </si>
  <si>
    <t>MM1Z5V6</t>
  </si>
  <si>
    <t>D1, D2</t>
  </si>
  <si>
    <t>SOD-123_L2.8-W1.8-LS3.7-RD</t>
  </si>
  <si>
    <t>ST(先科)</t>
  </si>
  <si>
    <t>C85210</t>
  </si>
  <si>
    <t>1N4148W</t>
  </si>
  <si>
    <t>D3, D4, D5</t>
  </si>
  <si>
    <t>SOD-123F_L2.7-W1.6-LS3.8-RD</t>
  </si>
  <si>
    <t>C81598</t>
  </si>
  <si>
    <t>3.3uH</t>
  </si>
  <si>
    <t>L3</t>
  </si>
  <si>
    <t>IND-SMD_L2.0-W1.6_AOTA-B201610S3R3-101-T</t>
  </si>
  <si>
    <t>AOTA-B201610S3R3-101-T</t>
  </si>
  <si>
    <t>ABRACON</t>
  </si>
  <si>
    <t>C42411119</t>
  </si>
  <si>
    <t>YLED0805G</t>
  </si>
  <si>
    <t>LED6, LED-QSPI_SS, LED-RUN</t>
  </si>
  <si>
    <t>LED0805-FD-GREEN</t>
  </si>
  <si>
    <t>YONGYUTAI(永裕泰)</t>
  </si>
  <si>
    <t>C25170728</t>
  </si>
  <si>
    <t>AO3400A</t>
  </si>
  <si>
    <t>Q1, Q2, Q3</t>
  </si>
  <si>
    <t>SOT-23-3_L2.9-W1.3-P1.90-LS2.4-BR</t>
  </si>
  <si>
    <t>AOS</t>
  </si>
  <si>
    <t>C20917</t>
  </si>
  <si>
    <t>KSC441G70SHLFS</t>
  </si>
  <si>
    <t>QSPI_SS, RUN</t>
  </si>
  <si>
    <t>KEY--SMD_4P-L6.2-W6.2-P4.50-LS12.0</t>
  </si>
  <si>
    <t>C&amp;K</t>
  </si>
  <si>
    <t>C221747</t>
  </si>
  <si>
    <t>261kΩ</t>
  </si>
  <si>
    <t>R3, R4</t>
  </si>
  <si>
    <t>R0603</t>
  </si>
  <si>
    <t>0603WAF2613T5E</t>
  </si>
  <si>
    <t>UNI-ROYAL(厚声)</t>
  </si>
  <si>
    <t>C23011</t>
  </si>
  <si>
    <t>5.1kΩ</t>
  </si>
  <si>
    <t>R12, R13</t>
  </si>
  <si>
    <t>R0805</t>
  </si>
  <si>
    <t>0805W8F5101T5E</t>
  </si>
  <si>
    <t>C27834</t>
  </si>
  <si>
    <t>33Ω</t>
  </si>
  <si>
    <t>R14</t>
  </si>
  <si>
    <t>FRC0603F33R0TS</t>
  </si>
  <si>
    <t>FOJAN(富捷)</t>
  </si>
  <si>
    <t>C2909394</t>
  </si>
  <si>
    <t>1kΩ</t>
  </si>
  <si>
    <t>R15, R16, R17</t>
  </si>
  <si>
    <t>RC0603FR-071KL</t>
  </si>
  <si>
    <t>C22548</t>
  </si>
  <si>
    <t>10kΩ</t>
  </si>
  <si>
    <t>R18</t>
  </si>
  <si>
    <t>RC0603FR-0710KL</t>
  </si>
  <si>
    <t>C98220</t>
  </si>
  <si>
    <t>4.7kΩ</t>
  </si>
  <si>
    <t>R22, R23</t>
  </si>
  <si>
    <t>R1206</t>
  </si>
  <si>
    <t>RMC12064.7K1%N</t>
  </si>
  <si>
    <t>Tyohm(幸亚电阻)</t>
  </si>
  <si>
    <t>C269592</t>
  </si>
  <si>
    <t>R24, R25, R26</t>
  </si>
  <si>
    <t>0603WAF1002T5E</t>
  </si>
  <si>
    <t>C25804</t>
  </si>
  <si>
    <t>44.2kΩ</t>
  </si>
  <si>
    <t>R27</t>
  </si>
  <si>
    <t>R0402</t>
  </si>
  <si>
    <t>RMC040244.2K1%N</t>
  </si>
  <si>
    <t>C325546</t>
  </si>
  <si>
    <t>6.04kΩ</t>
  </si>
  <si>
    <t>R28</t>
  </si>
  <si>
    <t>RMC04026.04K1%N</t>
  </si>
  <si>
    <t>C325548</t>
  </si>
  <si>
    <t>WS2812</t>
  </si>
  <si>
    <t>STATUS, U40, U41, U42</t>
  </si>
  <si>
    <t>LED-SMD_4P-L5.0-W5.0-TL-A</t>
  </si>
  <si>
    <t>worldsemi</t>
  </si>
  <si>
    <t>C42417498</t>
  </si>
  <si>
    <t>TF-CARD H1.8</t>
  </si>
  <si>
    <t>TF2</t>
  </si>
  <si>
    <t>TF-SMD_TF-CARD-H1.8</t>
  </si>
  <si>
    <t>SHOU HAN(首韩)</t>
  </si>
  <si>
    <t>C7529389</t>
  </si>
  <si>
    <t>RP2350B</t>
  </si>
  <si>
    <t>U1</t>
  </si>
  <si>
    <t>QFN-80_L10.0-W10.0-P0.40-TL-EP3.4</t>
  </si>
  <si>
    <t>Raspberry Pi(树莓派)</t>
  </si>
  <si>
    <t>C42415655</t>
  </si>
  <si>
    <t>JL301-50002U04</t>
  </si>
  <si>
    <t>U2</t>
  </si>
  <si>
    <t>CONN-TH_JL301-50002U01</t>
  </si>
  <si>
    <t>JILN(锦凌)</t>
  </si>
  <si>
    <t>C1509679</t>
  </si>
  <si>
    <t>ABM8-272-T3</t>
  </si>
  <si>
    <t>U6</t>
  </si>
  <si>
    <t>CRYSTAL-SMD_4P-L3.2-W2.5-BL</t>
  </si>
  <si>
    <t>C20625731</t>
  </si>
  <si>
    <t>W25Q128JVSIQ</t>
  </si>
  <si>
    <t>U7</t>
  </si>
  <si>
    <t>SOIC-8_L5.3-W5.3-P1.27-LS8.0-BL</t>
  </si>
  <si>
    <t>Winbond(华邦)</t>
  </si>
  <si>
    <t>C97521</t>
  </si>
  <si>
    <t>CDBA140SL-HF</t>
  </si>
  <si>
    <t>U16, U17, U18, U19</t>
  </si>
  <si>
    <t>DO-214AC_L4.3-W2.7-LS5.3-RD</t>
  </si>
  <si>
    <t>Comchip(典琦)</t>
  </si>
  <si>
    <t>C3012747</t>
  </si>
  <si>
    <t>JL301-50010U02</t>
  </si>
  <si>
    <t>U33, U34</t>
  </si>
  <si>
    <t>CONN-TH_10P-P5.00_JL301-50010U02</t>
  </si>
  <si>
    <t>C409141</t>
  </si>
  <si>
    <t>JL301-50004U02</t>
  </si>
  <si>
    <t>U35, U36</t>
  </si>
  <si>
    <t>CONN-TH_4P-P5.00_JL301-50004U02</t>
  </si>
  <si>
    <t>C409137</t>
  </si>
  <si>
    <t>HX PZ2.54-3x4P ZZ</t>
  </si>
  <si>
    <t>U37, U38</t>
  </si>
  <si>
    <t>HDR-TH_12P-P2.54-V-M-R3-C4-S2.54</t>
  </si>
  <si>
    <t>hanxia(韩下)</t>
  </si>
  <si>
    <t>C32713291</t>
  </si>
  <si>
    <t>INA260AIPWR</t>
  </si>
  <si>
    <t>U43</t>
  </si>
  <si>
    <t>TSSOP-16_L5.0-W4.4-P0.65-LS6.4-BL-1</t>
  </si>
  <si>
    <t>TI(德州仪器)</t>
  </si>
  <si>
    <t>C2155885</t>
  </si>
  <si>
    <t>SY8205FCC</t>
  </si>
  <si>
    <t>U45</t>
  </si>
  <si>
    <t>SOIC-8_L5.0-W4.0-P1.27-LS6.0-BL-EP2.0</t>
  </si>
  <si>
    <t>Silergy(矽力杰)</t>
  </si>
  <si>
    <t>C111875</t>
  </si>
  <si>
    <t>AP2112K-3.3TRG1(MS)</t>
  </si>
  <si>
    <t>U46</t>
  </si>
  <si>
    <t>SOT-23-5_L2.9-W1.6-P0.95-LS2.7-BR</t>
  </si>
  <si>
    <t>MSKSEMI(美森科)</t>
  </si>
  <si>
    <t>C22365427</t>
  </si>
  <si>
    <t>AP2112K-1.8TRG1</t>
  </si>
  <si>
    <t>U47</t>
  </si>
  <si>
    <t>SOT-25_L3.0-W1.6-P0.95-LS2.8-BL</t>
  </si>
  <si>
    <t>DIODES(美台)</t>
  </si>
  <si>
    <t>C176944</t>
  </si>
  <si>
    <t>TYPE-C 16PIN 2MD(073)</t>
  </si>
  <si>
    <t>USB1</t>
  </si>
  <si>
    <t>USB-C-SMD_TYPE-C-6PIN-2MD-073</t>
  </si>
  <si>
    <t>C2765186</t>
  </si>
  <si>
    <t>Project Title</t>
  </si>
  <si>
    <t>Borard Title</t>
  </si>
  <si>
    <t>Avian_1</t>
  </si>
  <si>
    <t>Schematic Title</t>
  </si>
  <si>
    <t>PCB Title</t>
  </si>
  <si>
    <t>PCB1_1</t>
  </si>
  <si>
    <t>Variant Name</t>
  </si>
  <si>
    <t>Total Quantity</t>
  </si>
  <si>
    <t>Report Time</t>
  </si>
  <si>
    <t>10:15:21</t>
  </si>
  <si>
    <t>Report Date</t>
  </si>
  <si>
    <t>2026年2月3日</t>
  </si>
  <si>
    <t>Report Date&amp;Time</t>
  </si>
  <si>
    <t>File Name</t>
  </si>
  <si>
    <t>Filter Option</t>
  </si>
  <si>
    <t xml:space="preserve">Add into BOM:no;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</si>
</sst>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3" borderId="3" xfId="0" applyNumberFormat="1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workbookViewId="0" zoomScale="100"/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2" x14ac:dyDescent="0.25">
      <c r="A7" s="8">
        <f>ROW()-6</f>
      </c>
      <c r="B7" s="9">
        <v>1</v>
      </c>
      <c r="C7" s="9" t="s">
        <v>21</v>
      </c>
      <c r="D7" s="9" t="s">
        <v>21</v>
      </c>
      <c r="E7" s="9" t="s">
        <v>22</v>
      </c>
      <c r="F7" s="9" t="s">
        <v>0</v>
      </c>
      <c r="G7" s="9" t="s">
        <v>21</v>
      </c>
      <c r="H7" s="9" t="s">
        <v>23</v>
      </c>
      <c r="I7" s="9" t="s">
        <v>24</v>
      </c>
      <c r="J7" s="9" t="s">
        <v>25</v>
      </c>
      <c r="K7" s="9" t="s">
        <v>0</v>
      </c>
      <c r="L7" s="10">
        <f>B7*K7</f>
      </c>
    </row>
    <row r="8" spans="1:12" x14ac:dyDescent="0.25">
      <c r="A8" s="8">
        <f>ROW()-6</f>
      </c>
      <c r="B8" s="9">
        <v>1</v>
      </c>
      <c r="C8" s="9" t="s">
        <v>26</v>
      </c>
      <c r="D8" s="9" t="s">
        <v>26</v>
      </c>
      <c r="E8" s="9" t="s">
        <v>27</v>
      </c>
      <c r="F8" s="9" t="s">
        <v>0</v>
      </c>
      <c r="G8" s="9" t="s">
        <v>26</v>
      </c>
      <c r="H8" s="9" t="s">
        <v>23</v>
      </c>
      <c r="I8" s="9" t="s">
        <v>28</v>
      </c>
      <c r="J8" s="9" t="s">
        <v>25</v>
      </c>
      <c r="K8" s="9" t="s">
        <v>0</v>
      </c>
      <c r="L8" s="10">
        <f>B8*K8</f>
      </c>
    </row>
    <row r="9" spans="1:12" x14ac:dyDescent="0.25">
      <c r="A9" s="8">
        <f>ROW()-6</f>
      </c>
      <c r="B9" s="9">
        <v>1</v>
      </c>
      <c r="C9" s="9" t="s">
        <v>29</v>
      </c>
      <c r="D9" s="9" t="s">
        <v>29</v>
      </c>
      <c r="E9" s="9" t="s">
        <v>30</v>
      </c>
      <c r="F9" s="9" t="s">
        <v>0</v>
      </c>
      <c r="G9" s="9" t="s">
        <v>29</v>
      </c>
      <c r="H9" s="9" t="s">
        <v>23</v>
      </c>
      <c r="I9" s="9" t="s">
        <v>31</v>
      </c>
      <c r="J9" s="9" t="s">
        <v>25</v>
      </c>
      <c r="K9" s="9" t="s">
        <v>0</v>
      </c>
      <c r="L9" s="10">
        <f>B9*K9</f>
      </c>
    </row>
    <row r="10" spans="1:12" x14ac:dyDescent="0.25">
      <c r="A10" s="8">
        <f>ROW()-6</f>
      </c>
      <c r="B10" s="9">
        <v>1</v>
      </c>
      <c r="C10" s="9" t="s">
        <v>32</v>
      </c>
      <c r="D10" s="9" t="s">
        <v>33</v>
      </c>
      <c r="E10" s="9" t="s">
        <v>34</v>
      </c>
      <c r="F10" s="9" t="s">
        <v>32</v>
      </c>
      <c r="G10" s="9" t="s">
        <v>35</v>
      </c>
      <c r="H10" s="9" t="s">
        <v>36</v>
      </c>
      <c r="I10" s="9" t="s">
        <v>37</v>
      </c>
      <c r="J10" s="9" t="s">
        <v>25</v>
      </c>
      <c r="K10" s="9" t="s">
        <v>0</v>
      </c>
      <c r="L10" s="10">
        <f>B10*K10</f>
      </c>
    </row>
    <row r="11" spans="1:12" x14ac:dyDescent="0.25">
      <c r="A11" s="8">
        <f>ROW()-6</f>
      </c>
      <c r="B11" s="9">
        <v>9</v>
      </c>
      <c r="C11" s="9" t="s">
        <v>38</v>
      </c>
      <c r="D11" s="9" t="s">
        <v>39</v>
      </c>
      <c r="E11" s="9" t="s">
        <v>40</v>
      </c>
      <c r="F11" s="9" t="s">
        <v>38</v>
      </c>
      <c r="G11" s="9" t="s">
        <v>41</v>
      </c>
      <c r="H11" s="9" t="s">
        <v>42</v>
      </c>
      <c r="I11" s="9" t="s">
        <v>43</v>
      </c>
      <c r="J11" s="9" t="s">
        <v>25</v>
      </c>
      <c r="K11" s="9" t="s">
        <v>0</v>
      </c>
      <c r="L11" s="10">
        <f>B11*K11</f>
      </c>
    </row>
    <row r="12" spans="1:12" x14ac:dyDescent="0.25">
      <c r="A12" s="8">
        <f>ROW()-6</f>
      </c>
      <c r="B12" s="9">
        <v>4</v>
      </c>
      <c r="C12" s="9" t="s">
        <v>44</v>
      </c>
      <c r="D12" s="9" t="s">
        <v>45</v>
      </c>
      <c r="E12" s="9" t="s">
        <v>40</v>
      </c>
      <c r="F12" s="9" t="s">
        <v>44</v>
      </c>
      <c r="G12" s="9" t="s">
        <v>46</v>
      </c>
      <c r="H12" s="9" t="s">
        <v>42</v>
      </c>
      <c r="I12" s="9" t="s">
        <v>47</v>
      </c>
      <c r="J12" s="9" t="s">
        <v>25</v>
      </c>
      <c r="K12" s="9" t="s">
        <v>0</v>
      </c>
      <c r="L12" s="10">
        <f>B12*K12</f>
      </c>
    </row>
    <row r="13" spans="1:12" x14ac:dyDescent="0.25">
      <c r="A13" s="8">
        <f>ROW()-6</f>
      </c>
      <c r="B13" s="9">
        <v>2</v>
      </c>
      <c r="C13" s="9" t="s">
        <v>48</v>
      </c>
      <c r="D13" s="9" t="s">
        <v>49</v>
      </c>
      <c r="E13" s="9" t="s">
        <v>50</v>
      </c>
      <c r="F13" s="9" t="s">
        <v>48</v>
      </c>
      <c r="G13" s="9" t="s">
        <v>51</v>
      </c>
      <c r="H13" s="9" t="s">
        <v>42</v>
      </c>
      <c r="I13" s="9" t="s">
        <v>52</v>
      </c>
      <c r="J13" s="9" t="s">
        <v>25</v>
      </c>
      <c r="K13" s="9" t="s">
        <v>0</v>
      </c>
      <c r="L13" s="10">
        <f>B13*K13</f>
      </c>
    </row>
    <row r="14" spans="1:12" x14ac:dyDescent="0.25">
      <c r="A14" s="8">
        <f>ROW()-6</f>
      </c>
      <c r="B14" s="9">
        <v>8</v>
      </c>
      <c r="C14" s="9" t="s">
        <v>53</v>
      </c>
      <c r="D14" s="9" t="s">
        <v>54</v>
      </c>
      <c r="E14" s="9" t="s">
        <v>50</v>
      </c>
      <c r="F14" s="9" t="s">
        <v>53</v>
      </c>
      <c r="G14" s="9" t="s">
        <v>55</v>
      </c>
      <c r="H14" s="9" t="s">
        <v>56</v>
      </c>
      <c r="I14" s="9" t="s">
        <v>57</v>
      </c>
      <c r="J14" s="9" t="s">
        <v>25</v>
      </c>
      <c r="K14" s="9" t="s">
        <v>0</v>
      </c>
      <c r="L14" s="10">
        <f>B14*K14</f>
      </c>
    </row>
    <row r="15" spans="1:12" x14ac:dyDescent="0.25">
      <c r="A15" s="8">
        <f>ROW()-6</f>
      </c>
      <c r="B15" s="9">
        <v>1</v>
      </c>
      <c r="C15" s="9" t="s">
        <v>58</v>
      </c>
      <c r="D15" s="9" t="s">
        <v>59</v>
      </c>
      <c r="E15" s="9" t="s">
        <v>40</v>
      </c>
      <c r="F15" s="9" t="s">
        <v>58</v>
      </c>
      <c r="G15" s="9" t="s">
        <v>60</v>
      </c>
      <c r="H15" s="9" t="s">
        <v>42</v>
      </c>
      <c r="I15" s="9" t="s">
        <v>61</v>
      </c>
      <c r="J15" s="9" t="s">
        <v>25</v>
      </c>
      <c r="K15" s="9" t="s">
        <v>0</v>
      </c>
      <c r="L15" s="10">
        <f>B15*K15</f>
      </c>
    </row>
    <row r="16" spans="1:12" x14ac:dyDescent="0.25">
      <c r="A16" s="8">
        <f>ROW()-6</f>
      </c>
      <c r="B16" s="9">
        <v>1</v>
      </c>
      <c r="C16" s="9" t="s">
        <v>62</v>
      </c>
      <c r="D16" s="9" t="s">
        <v>63</v>
      </c>
      <c r="E16" s="9" t="s">
        <v>50</v>
      </c>
      <c r="F16" s="9" t="s">
        <v>62</v>
      </c>
      <c r="G16" s="9" t="s">
        <v>64</v>
      </c>
      <c r="H16" s="9" t="s">
        <v>56</v>
      </c>
      <c r="I16" s="9" t="s">
        <v>65</v>
      </c>
      <c r="J16" s="9" t="s">
        <v>25</v>
      </c>
      <c r="K16" s="9" t="s">
        <v>0</v>
      </c>
      <c r="L16" s="10">
        <f>B16*K16</f>
      </c>
    </row>
    <row r="17" spans="1:12" x14ac:dyDescent="0.25">
      <c r="A17" s="8">
        <f>ROW()-6</f>
      </c>
      <c r="B17" s="9">
        <v>1</v>
      </c>
      <c r="C17" s="9" t="s">
        <v>53</v>
      </c>
      <c r="D17" s="9" t="s">
        <v>66</v>
      </c>
      <c r="E17" s="9" t="s">
        <v>50</v>
      </c>
      <c r="F17" s="9" t="s">
        <v>53</v>
      </c>
      <c r="G17" s="9" t="s">
        <v>67</v>
      </c>
      <c r="H17" s="9" t="s">
        <v>42</v>
      </c>
      <c r="I17" s="9" t="s">
        <v>68</v>
      </c>
      <c r="J17" s="9" t="s">
        <v>25</v>
      </c>
      <c r="K17" s="9" t="s">
        <v>0</v>
      </c>
      <c r="L17" s="10">
        <f>B17*K17</f>
      </c>
    </row>
    <row r="18" spans="1:12" x14ac:dyDescent="0.25">
      <c r="A18" s="8">
        <f>ROW()-6</f>
      </c>
      <c r="B18" s="9">
        <v>2</v>
      </c>
      <c r="C18" s="9" t="s">
        <v>69</v>
      </c>
      <c r="D18" s="9" t="s">
        <v>70</v>
      </c>
      <c r="E18" s="9" t="s">
        <v>71</v>
      </c>
      <c r="F18" s="9" t="s">
        <v>69</v>
      </c>
      <c r="G18" s="9" t="s">
        <v>72</v>
      </c>
      <c r="H18" s="9" t="s">
        <v>42</v>
      </c>
      <c r="I18" s="9" t="s">
        <v>73</v>
      </c>
      <c r="J18" s="9" t="s">
        <v>25</v>
      </c>
      <c r="K18" s="9" t="s">
        <v>0</v>
      </c>
      <c r="L18" s="10">
        <f>B18*K18</f>
      </c>
    </row>
    <row r="19" spans="1:12" x14ac:dyDescent="0.25">
      <c r="A19" s="8">
        <f>ROW()-6</f>
      </c>
      <c r="B19" s="9">
        <v>2</v>
      </c>
      <c r="C19" s="9" t="s">
        <v>74</v>
      </c>
      <c r="D19" s="9" t="s">
        <v>75</v>
      </c>
      <c r="E19" s="9" t="s">
        <v>76</v>
      </c>
      <c r="F19" s="9" t="s">
        <v>0</v>
      </c>
      <c r="G19" s="9" t="s">
        <v>74</v>
      </c>
      <c r="H19" s="9" t="s">
        <v>77</v>
      </c>
      <c r="I19" s="9" t="s">
        <v>78</v>
      </c>
      <c r="J19" s="9" t="s">
        <v>25</v>
      </c>
      <c r="K19" s="9" t="s">
        <v>0</v>
      </c>
      <c r="L19" s="10">
        <f>B19*K19</f>
      </c>
    </row>
    <row r="20" spans="1:12" x14ac:dyDescent="0.25">
      <c r="A20" s="8">
        <f>ROW()-6</f>
      </c>
      <c r="B20" s="9">
        <v>3</v>
      </c>
      <c r="C20" s="9" t="s">
        <v>79</v>
      </c>
      <c r="D20" s="9" t="s">
        <v>80</v>
      </c>
      <c r="E20" s="9" t="s">
        <v>81</v>
      </c>
      <c r="F20" s="9" t="s">
        <v>0</v>
      </c>
      <c r="G20" s="9" t="s">
        <v>79</v>
      </c>
      <c r="H20" s="9" t="s">
        <v>77</v>
      </c>
      <c r="I20" s="9" t="s">
        <v>82</v>
      </c>
      <c r="J20" s="9" t="s">
        <v>25</v>
      </c>
      <c r="K20" s="9" t="s">
        <v>0</v>
      </c>
      <c r="L20" s="10">
        <f>B20*K20</f>
      </c>
    </row>
    <row r="21" spans="1:12" x14ac:dyDescent="0.25">
      <c r="A21" s="8">
        <f>ROW()-6</f>
      </c>
      <c r="B21" s="9">
        <v>1</v>
      </c>
      <c r="C21" s="9" t="s">
        <v>83</v>
      </c>
      <c r="D21" s="9" t="s">
        <v>84</v>
      </c>
      <c r="E21" s="9" t="s">
        <v>85</v>
      </c>
      <c r="F21" s="9" t="s">
        <v>83</v>
      </c>
      <c r="G21" s="9" t="s">
        <v>86</v>
      </c>
      <c r="H21" s="9" t="s">
        <v>87</v>
      </c>
      <c r="I21" s="9" t="s">
        <v>88</v>
      </c>
      <c r="J21" s="9" t="s">
        <v>25</v>
      </c>
      <c r="K21" s="9" t="s">
        <v>0</v>
      </c>
      <c r="L21" s="10">
        <f>B21*K21</f>
      </c>
    </row>
    <row r="22" spans="1:12" x14ac:dyDescent="0.25">
      <c r="A22" s="8">
        <f>ROW()-6</f>
      </c>
      <c r="B22" s="9">
        <v>3</v>
      </c>
      <c r="C22" s="9" t="s">
        <v>89</v>
      </c>
      <c r="D22" s="9" t="s">
        <v>90</v>
      </c>
      <c r="E22" s="9" t="s">
        <v>91</v>
      </c>
      <c r="F22" s="9" t="s">
        <v>0</v>
      </c>
      <c r="G22" s="9" t="s">
        <v>89</v>
      </c>
      <c r="H22" s="9" t="s">
        <v>92</v>
      </c>
      <c r="I22" s="9" t="s">
        <v>93</v>
      </c>
      <c r="J22" s="9" t="s">
        <v>25</v>
      </c>
      <c r="K22" s="9" t="s">
        <v>0</v>
      </c>
      <c r="L22" s="10">
        <f>B22*K22</f>
      </c>
    </row>
    <row r="23" spans="1:12" x14ac:dyDescent="0.25">
      <c r="A23" s="8">
        <f>ROW()-6</f>
      </c>
      <c r="B23" s="9">
        <v>3</v>
      </c>
      <c r="C23" s="9" t="s">
        <v>94</v>
      </c>
      <c r="D23" s="9" t="s">
        <v>95</v>
      </c>
      <c r="E23" s="9" t="s">
        <v>96</v>
      </c>
      <c r="F23" s="9" t="s">
        <v>0</v>
      </c>
      <c r="G23" s="9" t="s">
        <v>94</v>
      </c>
      <c r="H23" s="9" t="s">
        <v>97</v>
      </c>
      <c r="I23" s="9" t="s">
        <v>98</v>
      </c>
      <c r="J23" s="9" t="s">
        <v>25</v>
      </c>
      <c r="K23" s="9" t="s">
        <v>0</v>
      </c>
      <c r="L23" s="10">
        <f>B23*K23</f>
      </c>
    </row>
    <row r="24" spans="1:12" x14ac:dyDescent="0.25">
      <c r="A24" s="8">
        <f>ROW()-6</f>
      </c>
      <c r="B24" s="9">
        <v>2</v>
      </c>
      <c r="C24" s="9" t="s">
        <v>99</v>
      </c>
      <c r="D24" s="9" t="s">
        <v>100</v>
      </c>
      <c r="E24" s="9" t="s">
        <v>101</v>
      </c>
      <c r="F24" s="9" t="s">
        <v>0</v>
      </c>
      <c r="G24" s="9" t="s">
        <v>99</v>
      </c>
      <c r="H24" s="9" t="s">
        <v>102</v>
      </c>
      <c r="I24" s="9" t="s">
        <v>103</v>
      </c>
      <c r="J24" s="9" t="s">
        <v>25</v>
      </c>
      <c r="K24" s="9" t="s">
        <v>0</v>
      </c>
      <c r="L24" s="10">
        <f>B24*K24</f>
      </c>
    </row>
    <row r="25" spans="1:12" x14ac:dyDescent="0.25">
      <c r="A25" s="8">
        <f>ROW()-6</f>
      </c>
      <c r="B25" s="9">
        <v>2</v>
      </c>
      <c r="C25" s="9" t="s">
        <v>104</v>
      </c>
      <c r="D25" s="9" t="s">
        <v>105</v>
      </c>
      <c r="E25" s="9" t="s">
        <v>106</v>
      </c>
      <c r="F25" s="9" t="s">
        <v>104</v>
      </c>
      <c r="G25" s="9" t="s">
        <v>107</v>
      </c>
      <c r="H25" s="9" t="s">
        <v>108</v>
      </c>
      <c r="I25" s="9" t="s">
        <v>109</v>
      </c>
      <c r="J25" s="9" t="s">
        <v>25</v>
      </c>
      <c r="K25" s="9" t="s">
        <v>0</v>
      </c>
      <c r="L25" s="10">
        <f>B25*K25</f>
      </c>
    </row>
    <row r="26" spans="1:12" x14ac:dyDescent="0.25">
      <c r="A26" s="8">
        <f>ROW()-6</f>
      </c>
      <c r="B26" s="9">
        <v>2</v>
      </c>
      <c r="C26" s="9" t="s">
        <v>110</v>
      </c>
      <c r="D26" s="9" t="s">
        <v>111</v>
      </c>
      <c r="E26" s="9" t="s">
        <v>112</v>
      </c>
      <c r="F26" s="9" t="s">
        <v>110</v>
      </c>
      <c r="G26" s="9" t="s">
        <v>113</v>
      </c>
      <c r="H26" s="9" t="s">
        <v>108</v>
      </c>
      <c r="I26" s="9" t="s">
        <v>114</v>
      </c>
      <c r="J26" s="9" t="s">
        <v>25</v>
      </c>
      <c r="K26" s="9" t="s">
        <v>0</v>
      </c>
      <c r="L26" s="10">
        <f>B26*K26</f>
      </c>
    </row>
    <row r="27" spans="1:12" x14ac:dyDescent="0.25">
      <c r="A27" s="8">
        <f>ROW()-6</f>
      </c>
      <c r="B27" s="9">
        <v>1</v>
      </c>
      <c r="C27" s="9" t="s">
        <v>115</v>
      </c>
      <c r="D27" s="9" t="s">
        <v>116</v>
      </c>
      <c r="E27" s="9" t="s">
        <v>106</v>
      </c>
      <c r="F27" s="9" t="s">
        <v>115</v>
      </c>
      <c r="G27" s="9" t="s">
        <v>117</v>
      </c>
      <c r="H27" s="9" t="s">
        <v>118</v>
      </c>
      <c r="I27" s="9" t="s">
        <v>119</v>
      </c>
      <c r="J27" s="9" t="s">
        <v>25</v>
      </c>
      <c r="K27" s="9" t="s">
        <v>0</v>
      </c>
      <c r="L27" s="10">
        <f>B27*K27</f>
      </c>
    </row>
    <row r="28" spans="1:12" x14ac:dyDescent="0.25">
      <c r="A28" s="8">
        <f>ROW()-6</f>
      </c>
      <c r="B28" s="9">
        <v>3</v>
      </c>
      <c r="C28" s="9" t="s">
        <v>120</v>
      </c>
      <c r="D28" s="9" t="s">
        <v>121</v>
      </c>
      <c r="E28" s="9" t="s">
        <v>106</v>
      </c>
      <c r="F28" s="9" t="s">
        <v>120</v>
      </c>
      <c r="G28" s="9" t="s">
        <v>122</v>
      </c>
      <c r="H28" s="9" t="s">
        <v>56</v>
      </c>
      <c r="I28" s="9" t="s">
        <v>123</v>
      </c>
      <c r="J28" s="9" t="s">
        <v>25</v>
      </c>
      <c r="K28" s="9" t="s">
        <v>0</v>
      </c>
      <c r="L28" s="10">
        <f>B28*K28</f>
      </c>
    </row>
    <row r="29" spans="1:12" x14ac:dyDescent="0.25">
      <c r="A29" s="8">
        <f>ROW()-6</f>
      </c>
      <c r="B29" s="9">
        <v>1</v>
      </c>
      <c r="C29" s="9" t="s">
        <v>124</v>
      </c>
      <c r="D29" s="9" t="s">
        <v>125</v>
      </c>
      <c r="E29" s="9" t="s">
        <v>106</v>
      </c>
      <c r="F29" s="9" t="s">
        <v>124</v>
      </c>
      <c r="G29" s="9" t="s">
        <v>126</v>
      </c>
      <c r="H29" s="9" t="s">
        <v>56</v>
      </c>
      <c r="I29" s="9" t="s">
        <v>127</v>
      </c>
      <c r="J29" s="9" t="s">
        <v>25</v>
      </c>
      <c r="K29" s="9" t="s">
        <v>0</v>
      </c>
      <c r="L29" s="10">
        <f>B29*K29</f>
      </c>
    </row>
    <row r="30" spans="1:12" x14ac:dyDescent="0.25">
      <c r="A30" s="8">
        <f>ROW()-6</f>
      </c>
      <c r="B30" s="9">
        <v>2</v>
      </c>
      <c r="C30" s="9" t="s">
        <v>128</v>
      </c>
      <c r="D30" s="9" t="s">
        <v>129</v>
      </c>
      <c r="E30" s="9" t="s">
        <v>130</v>
      </c>
      <c r="F30" s="9" t="s">
        <v>128</v>
      </c>
      <c r="G30" s="9" t="s">
        <v>131</v>
      </c>
      <c r="H30" s="9" t="s">
        <v>132</v>
      </c>
      <c r="I30" s="9" t="s">
        <v>133</v>
      </c>
      <c r="J30" s="9" t="s">
        <v>25</v>
      </c>
      <c r="K30" s="9" t="s">
        <v>0</v>
      </c>
      <c r="L30" s="10">
        <f>B30*K30</f>
      </c>
    </row>
    <row r="31" spans="1:12" x14ac:dyDescent="0.25">
      <c r="A31" s="8">
        <f>ROW()-6</f>
      </c>
      <c r="B31" s="9">
        <v>3</v>
      </c>
      <c r="C31" s="9" t="s">
        <v>124</v>
      </c>
      <c r="D31" s="9" t="s">
        <v>134</v>
      </c>
      <c r="E31" s="9" t="s">
        <v>106</v>
      </c>
      <c r="F31" s="9" t="s">
        <v>124</v>
      </c>
      <c r="G31" s="9" t="s">
        <v>135</v>
      </c>
      <c r="H31" s="9" t="s">
        <v>108</v>
      </c>
      <c r="I31" s="9" t="s">
        <v>136</v>
      </c>
      <c r="J31" s="9" t="s">
        <v>25</v>
      </c>
      <c r="K31" s="9" t="s">
        <v>0</v>
      </c>
      <c r="L31" s="10">
        <f>B31*K31</f>
      </c>
    </row>
    <row r="32" spans="1:12" x14ac:dyDescent="0.25">
      <c r="A32" s="8">
        <f>ROW()-6</f>
      </c>
      <c r="B32" s="9">
        <v>1</v>
      </c>
      <c r="C32" s="9" t="s">
        <v>137</v>
      </c>
      <c r="D32" s="9" t="s">
        <v>138</v>
      </c>
      <c r="E32" s="9" t="s">
        <v>139</v>
      </c>
      <c r="F32" s="9" t="s">
        <v>137</v>
      </c>
      <c r="G32" s="9" t="s">
        <v>140</v>
      </c>
      <c r="H32" s="9" t="s">
        <v>132</v>
      </c>
      <c r="I32" s="9" t="s">
        <v>141</v>
      </c>
      <c r="J32" s="9" t="s">
        <v>25</v>
      </c>
      <c r="K32" s="9" t="s">
        <v>0</v>
      </c>
      <c r="L32" s="10">
        <f>B32*K32</f>
      </c>
    </row>
    <row r="33" spans="1:12" x14ac:dyDescent="0.25">
      <c r="A33" s="8">
        <f>ROW()-6</f>
      </c>
      <c r="B33" s="9">
        <v>1</v>
      </c>
      <c r="C33" s="9" t="s">
        <v>142</v>
      </c>
      <c r="D33" s="9" t="s">
        <v>143</v>
      </c>
      <c r="E33" s="9" t="s">
        <v>139</v>
      </c>
      <c r="F33" s="9" t="s">
        <v>142</v>
      </c>
      <c r="G33" s="9" t="s">
        <v>144</v>
      </c>
      <c r="H33" s="9" t="s">
        <v>132</v>
      </c>
      <c r="I33" s="9" t="s">
        <v>145</v>
      </c>
      <c r="J33" s="9" t="s">
        <v>25</v>
      </c>
      <c r="K33" s="9" t="s">
        <v>0</v>
      </c>
      <c r="L33" s="10">
        <f>B33*K33</f>
      </c>
    </row>
    <row r="34" spans="1:12" x14ac:dyDescent="0.25">
      <c r="A34" s="8">
        <f>ROW()-6</f>
      </c>
      <c r="B34" s="9">
        <v>4</v>
      </c>
      <c r="C34" s="9" t="s">
        <v>146</v>
      </c>
      <c r="D34" s="9" t="s">
        <v>147</v>
      </c>
      <c r="E34" s="9" t="s">
        <v>148</v>
      </c>
      <c r="F34" s="9" t="s">
        <v>0</v>
      </c>
      <c r="G34" s="9" t="s">
        <v>146</v>
      </c>
      <c r="H34" s="9" t="s">
        <v>149</v>
      </c>
      <c r="I34" s="9" t="s">
        <v>150</v>
      </c>
      <c r="J34" s="9" t="s">
        <v>25</v>
      </c>
      <c r="K34" s="9" t="s">
        <v>0</v>
      </c>
      <c r="L34" s="10">
        <f>B34*K34</f>
      </c>
    </row>
    <row r="35" spans="1:12" x14ac:dyDescent="0.25">
      <c r="A35" s="8">
        <f>ROW()-6</f>
      </c>
      <c r="B35" s="9">
        <v>1</v>
      </c>
      <c r="C35" s="9" t="s">
        <v>151</v>
      </c>
      <c r="D35" s="9" t="s">
        <v>152</v>
      </c>
      <c r="E35" s="9" t="s">
        <v>153</v>
      </c>
      <c r="F35" s="9" t="s">
        <v>0</v>
      </c>
      <c r="G35" s="9" t="s">
        <v>151</v>
      </c>
      <c r="H35" s="9" t="s">
        <v>154</v>
      </c>
      <c r="I35" s="9" t="s">
        <v>155</v>
      </c>
      <c r="J35" s="9" t="s">
        <v>25</v>
      </c>
      <c r="K35" s="9" t="s">
        <v>0</v>
      </c>
      <c r="L35" s="10">
        <f>B35*K35</f>
      </c>
    </row>
    <row r="36" spans="1:12" x14ac:dyDescent="0.25">
      <c r="A36" s="8">
        <f>ROW()-6</f>
      </c>
      <c r="B36" s="9">
        <v>1</v>
      </c>
      <c r="C36" s="9" t="s">
        <v>156</v>
      </c>
      <c r="D36" s="9" t="s">
        <v>157</v>
      </c>
      <c r="E36" s="9" t="s">
        <v>158</v>
      </c>
      <c r="F36" s="9" t="s">
        <v>0</v>
      </c>
      <c r="G36" s="9" t="s">
        <v>156</v>
      </c>
      <c r="H36" s="9" t="s">
        <v>159</v>
      </c>
      <c r="I36" s="9" t="s">
        <v>160</v>
      </c>
      <c r="J36" s="9" t="s">
        <v>25</v>
      </c>
      <c r="K36" s="9" t="s">
        <v>0</v>
      </c>
      <c r="L36" s="10">
        <f>B36*K36</f>
      </c>
    </row>
    <row r="37" spans="1:12" x14ac:dyDescent="0.25">
      <c r="A37" s="8">
        <f>ROW()-6</f>
      </c>
      <c r="B37" s="9">
        <v>1</v>
      </c>
      <c r="C37" s="9" t="s">
        <v>161</v>
      </c>
      <c r="D37" s="9" t="s">
        <v>162</v>
      </c>
      <c r="E37" s="9" t="s">
        <v>163</v>
      </c>
      <c r="F37" s="9" t="s">
        <v>0</v>
      </c>
      <c r="G37" s="9" t="s">
        <v>161</v>
      </c>
      <c r="H37" s="9" t="s">
        <v>164</v>
      </c>
      <c r="I37" s="9" t="s">
        <v>165</v>
      </c>
      <c r="J37" s="9" t="s">
        <v>25</v>
      </c>
      <c r="K37" s="9" t="s">
        <v>0</v>
      </c>
      <c r="L37" s="10">
        <f>B37*K37</f>
      </c>
    </row>
    <row r="38" spans="1:12" x14ac:dyDescent="0.25">
      <c r="A38" s="8">
        <f>ROW()-6</f>
      </c>
      <c r="B38" s="9">
        <v>1</v>
      </c>
      <c r="C38" s="9" t="s">
        <v>166</v>
      </c>
      <c r="D38" s="9" t="s">
        <v>167</v>
      </c>
      <c r="E38" s="9" t="s">
        <v>168</v>
      </c>
      <c r="F38" s="9" t="s">
        <v>0</v>
      </c>
      <c r="G38" s="9" t="s">
        <v>166</v>
      </c>
      <c r="H38" s="9" t="s">
        <v>87</v>
      </c>
      <c r="I38" s="9" t="s">
        <v>169</v>
      </c>
      <c r="J38" s="9" t="s">
        <v>25</v>
      </c>
      <c r="K38" s="9" t="s">
        <v>0</v>
      </c>
      <c r="L38" s="10">
        <f>B38*K38</f>
      </c>
    </row>
    <row r="39" spans="1:12" x14ac:dyDescent="0.25">
      <c r="A39" s="8">
        <f>ROW()-6</f>
      </c>
      <c r="B39" s="9">
        <v>1</v>
      </c>
      <c r="C39" s="9" t="s">
        <v>170</v>
      </c>
      <c r="D39" s="9" t="s">
        <v>171</v>
      </c>
      <c r="E39" s="9" t="s">
        <v>172</v>
      </c>
      <c r="F39" s="9" t="s">
        <v>0</v>
      </c>
      <c r="G39" s="9" t="s">
        <v>170</v>
      </c>
      <c r="H39" s="9" t="s">
        <v>173</v>
      </c>
      <c r="I39" s="9" t="s">
        <v>174</v>
      </c>
      <c r="J39" s="9" t="s">
        <v>25</v>
      </c>
      <c r="K39" s="9" t="s">
        <v>0</v>
      </c>
      <c r="L39" s="10">
        <f>B39*K39</f>
      </c>
    </row>
    <row r="40" spans="1:12" x14ac:dyDescent="0.25">
      <c r="A40" s="8">
        <f>ROW()-6</f>
      </c>
      <c r="B40" s="9">
        <v>4</v>
      </c>
      <c r="C40" s="9" t="s">
        <v>175</v>
      </c>
      <c r="D40" s="9" t="s">
        <v>176</v>
      </c>
      <c r="E40" s="9" t="s">
        <v>177</v>
      </c>
      <c r="F40" s="9" t="s">
        <v>0</v>
      </c>
      <c r="G40" s="9" t="s">
        <v>175</v>
      </c>
      <c r="H40" s="9" t="s">
        <v>178</v>
      </c>
      <c r="I40" s="9" t="s">
        <v>179</v>
      </c>
      <c r="J40" s="9" t="s">
        <v>25</v>
      </c>
      <c r="K40" s="9" t="s">
        <v>0</v>
      </c>
      <c r="L40" s="10">
        <f>B40*K40</f>
      </c>
    </row>
    <row r="41" spans="1:12" x14ac:dyDescent="0.25">
      <c r="A41" s="8">
        <f>ROW()-6</f>
      </c>
      <c r="B41" s="9">
        <v>2</v>
      </c>
      <c r="C41" s="9" t="s">
        <v>180</v>
      </c>
      <c r="D41" s="9" t="s">
        <v>181</v>
      </c>
      <c r="E41" s="9" t="s">
        <v>182</v>
      </c>
      <c r="F41" s="9" t="s">
        <v>0</v>
      </c>
      <c r="G41" s="9" t="s">
        <v>180</v>
      </c>
      <c r="H41" s="9" t="s">
        <v>164</v>
      </c>
      <c r="I41" s="9" t="s">
        <v>183</v>
      </c>
      <c r="J41" s="9" t="s">
        <v>25</v>
      </c>
      <c r="K41" s="9" t="s">
        <v>0</v>
      </c>
      <c r="L41" s="10">
        <f>B41*K41</f>
      </c>
    </row>
    <row r="42" spans="1:12" x14ac:dyDescent="0.25">
      <c r="A42" s="8">
        <f>ROW()-6</f>
      </c>
      <c r="B42" s="9">
        <v>2</v>
      </c>
      <c r="C42" s="9" t="s">
        <v>184</v>
      </c>
      <c r="D42" s="9" t="s">
        <v>185</v>
      </c>
      <c r="E42" s="9" t="s">
        <v>186</v>
      </c>
      <c r="F42" s="9" t="s">
        <v>0</v>
      </c>
      <c r="G42" s="9" t="s">
        <v>184</v>
      </c>
      <c r="H42" s="9" t="s">
        <v>164</v>
      </c>
      <c r="I42" s="9" t="s">
        <v>187</v>
      </c>
      <c r="J42" s="9" t="s">
        <v>25</v>
      </c>
      <c r="K42" s="9" t="s">
        <v>0</v>
      </c>
      <c r="L42" s="10">
        <f>B42*K42</f>
      </c>
    </row>
    <row r="43" spans="1:12" x14ac:dyDescent="0.25">
      <c r="A43" s="8">
        <f>ROW()-6</f>
      </c>
      <c r="B43" s="9">
        <v>2</v>
      </c>
      <c r="C43" s="9" t="s">
        <v>188</v>
      </c>
      <c r="D43" s="9" t="s">
        <v>189</v>
      </c>
      <c r="E43" s="9" t="s">
        <v>190</v>
      </c>
      <c r="F43" s="9" t="s">
        <v>0</v>
      </c>
      <c r="G43" s="9" t="s">
        <v>188</v>
      </c>
      <c r="H43" s="9" t="s">
        <v>191</v>
      </c>
      <c r="I43" s="9" t="s">
        <v>192</v>
      </c>
      <c r="J43" s="9" t="s">
        <v>25</v>
      </c>
      <c r="K43" s="9" t="s">
        <v>0</v>
      </c>
      <c r="L43" s="10">
        <f>B43*K43</f>
      </c>
    </row>
    <row r="44" spans="1:12" x14ac:dyDescent="0.25">
      <c r="A44" s="8">
        <f>ROW()-6</f>
      </c>
      <c r="B44" s="9">
        <v>1</v>
      </c>
      <c r="C44" s="9" t="s">
        <v>193</v>
      </c>
      <c r="D44" s="9" t="s">
        <v>194</v>
      </c>
      <c r="E44" s="9" t="s">
        <v>195</v>
      </c>
      <c r="F44" s="9" t="s">
        <v>0</v>
      </c>
      <c r="G44" s="9" t="s">
        <v>193</v>
      </c>
      <c r="H44" s="9" t="s">
        <v>196</v>
      </c>
      <c r="I44" s="9" t="s">
        <v>197</v>
      </c>
      <c r="J44" s="9" t="s">
        <v>25</v>
      </c>
      <c r="K44" s="9" t="s">
        <v>0</v>
      </c>
      <c r="L44" s="10">
        <f>B44*K44</f>
      </c>
    </row>
    <row r="45" spans="1:12" x14ac:dyDescent="0.25">
      <c r="A45" s="8">
        <f>ROW()-6</f>
      </c>
      <c r="B45" s="9">
        <v>1</v>
      </c>
      <c r="C45" s="9" t="s">
        <v>198</v>
      </c>
      <c r="D45" s="9" t="s">
        <v>199</v>
      </c>
      <c r="E45" s="9" t="s">
        <v>200</v>
      </c>
      <c r="F45" s="9" t="s">
        <v>0</v>
      </c>
      <c r="G45" s="9" t="s">
        <v>198</v>
      </c>
      <c r="H45" s="9" t="s">
        <v>201</v>
      </c>
      <c r="I45" s="9" t="s">
        <v>202</v>
      </c>
      <c r="J45" s="9" t="s">
        <v>25</v>
      </c>
      <c r="K45" s="9" t="s">
        <v>0</v>
      </c>
      <c r="L45" s="10">
        <f>B45*K45</f>
      </c>
    </row>
    <row r="46" spans="1:12" x14ac:dyDescent="0.25">
      <c r="A46" s="8">
        <f>ROW()-6</f>
      </c>
      <c r="B46" s="9">
        <v>1</v>
      </c>
      <c r="C46" s="9" t="s">
        <v>203</v>
      </c>
      <c r="D46" s="9" t="s">
        <v>204</v>
      </c>
      <c r="E46" s="9" t="s">
        <v>205</v>
      </c>
      <c r="F46" s="9" t="s">
        <v>0</v>
      </c>
      <c r="G46" s="9" t="s">
        <v>203</v>
      </c>
      <c r="H46" s="9" t="s">
        <v>206</v>
      </c>
      <c r="I46" s="9" t="s">
        <v>207</v>
      </c>
      <c r="J46" s="9" t="s">
        <v>25</v>
      </c>
      <c r="K46" s="9" t="s">
        <v>0</v>
      </c>
      <c r="L46" s="10">
        <f>B46*K46</f>
      </c>
    </row>
    <row r="47" spans="1:12" x14ac:dyDescent="0.25">
      <c r="A47" s="8">
        <f>ROW()-6</f>
      </c>
      <c r="B47" s="9">
        <v>1</v>
      </c>
      <c r="C47" s="9" t="s">
        <v>208</v>
      </c>
      <c r="D47" s="9" t="s">
        <v>209</v>
      </c>
      <c r="E47" s="9" t="s">
        <v>210</v>
      </c>
      <c r="F47" s="9" t="s">
        <v>0</v>
      </c>
      <c r="G47" s="9" t="s">
        <v>208</v>
      </c>
      <c r="H47" s="9" t="s">
        <v>211</v>
      </c>
      <c r="I47" s="9" t="s">
        <v>212</v>
      </c>
      <c r="J47" s="9" t="s">
        <v>25</v>
      </c>
      <c r="K47" s="9" t="s">
        <v>0</v>
      </c>
      <c r="L47" s="10">
        <f>B47*K47</f>
      </c>
    </row>
    <row r="48" spans="1:12" x14ac:dyDescent="0.25">
      <c r="A48" s="8">
        <f>ROW()-6</f>
      </c>
      <c r="B48" s="9">
        <v>1</v>
      </c>
      <c r="C48" s="9" t="s">
        <v>213</v>
      </c>
      <c r="D48" s="9" t="s">
        <v>214</v>
      </c>
      <c r="E48" s="9" t="s">
        <v>215</v>
      </c>
      <c r="F48" s="9" t="s">
        <v>0</v>
      </c>
      <c r="G48" s="9" t="s">
        <v>213</v>
      </c>
      <c r="H48" s="9" t="s">
        <v>154</v>
      </c>
      <c r="I48" s="9" t="s">
        <v>216</v>
      </c>
      <c r="J48" s="9" t="s">
        <v>25</v>
      </c>
      <c r="K48" s="9" t="s">
        <v>0</v>
      </c>
      <c r="L48" s="10">
        <f>B48*K48</f>
      </c>
    </row>
    <row r="49" spans="1:12" x14ac:dyDescent="0.25">
      <c r="A49" s="8">
        <f>ROW()-6</f>
      </c>
      <c r="B49" s="11">
        <f>SUM(L7:L48)</f>
      </c>
      <c r="C49" s="11"/>
      <c r="D49" s="11"/>
      <c r="E49" s="11"/>
      <c r="F49" s="11"/>
      <c r="G49" s="11"/>
      <c r="H49" s="11"/>
      <c r="I49" s="11"/>
      <c r="J49" s="11"/>
      <c r="K49" s="11"/>
      <c r="L49" s="11"/>
    </row>
  </sheetData>
  <mergeCells count="4">
    <mergeCell ref="A1:D5"/>
    <mergeCell ref="E1:E2"/>
    <mergeCell ref="F1:F2"/>
    <mergeCell ref="B49:L4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100"/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217</v>
      </c>
      <c r="B1" s="6" t="s">
        <v>4</v>
      </c>
    </row>
    <row r="2" spans="1:2" x14ac:dyDescent="0.25">
      <c r="A2" s="6" t="s">
        <v>218</v>
      </c>
      <c r="B2" s="6" t="s">
        <v>219</v>
      </c>
    </row>
    <row r="3" spans="1:2" x14ac:dyDescent="0.25">
      <c r="A3" s="6" t="s">
        <v>220</v>
      </c>
      <c r="B3" s="6" t="s">
        <v>6</v>
      </c>
    </row>
    <row r="4" spans="1:2" x14ac:dyDescent="0.25">
      <c r="A4" s="6" t="s">
        <v>221</v>
      </c>
      <c r="B4" s="6" t="s">
        <v>222</v>
      </c>
    </row>
    <row r="5" spans="1:2" x14ac:dyDescent="0.25">
      <c r="A5" s="6" t="s">
        <v>223</v>
      </c>
      <c r="B5" s="6" t="s">
        <v>6</v>
      </c>
    </row>
    <row r="6" spans="1:2" x14ac:dyDescent="0.25">
      <c r="A6" s="6" t="s">
        <v>224</v>
      </c>
      <c r="B6" s="6">
        <v>86</v>
      </c>
    </row>
    <row r="7" spans="1:2" x14ac:dyDescent="0.25">
      <c r="A7" s="6" t="s">
        <v>225</v>
      </c>
      <c r="B7" s="6" t="s">
        <v>226</v>
      </c>
    </row>
    <row r="8" spans="1:2" x14ac:dyDescent="0.25">
      <c r="A8" s="6" t="s">
        <v>227</v>
      </c>
      <c r="B8" s="6" t="s">
        <v>228</v>
      </c>
    </row>
    <row r="9" spans="1:2" x14ac:dyDescent="0.25">
      <c r="A9" s="6" t="s">
        <v>229</v>
      </c>
      <c r="B9" s="6" t="s">
        <v>8</v>
      </c>
    </row>
    <row r="10" spans="1:2" x14ac:dyDescent="0.25">
      <c r="A10" s="6" t="s">
        <v>230</v>
      </c>
      <c r="B10" s="6" t="s">
        <v>2</v>
      </c>
    </row>
    <row r="11" spans="1:2" x14ac:dyDescent="0.25">
      <c r="A11" s="6" t="s">
        <v>231</v>
      </c>
      <c r="B11" s="6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2026-02-03T03:15:21Z</dcterms:modified>
</cp:coreProperties>
</file>